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do\iCloudDrive\Downloads\서강대\5학기\시스템프로그래밍\Project 3\task3\"/>
    </mc:Choice>
  </mc:AlternateContent>
  <xr:revisionPtr revIDLastSave="0" documentId="13_ncr:1_{A38A5C97-FC7C-4727-BE0C-EDBE0DF39041}" xr6:coauthVersionLast="47" xr6:coauthVersionMax="47" xr10:uidLastSave="{00000000-0000-0000-0000-000000000000}"/>
  <bookViews>
    <workbookView xWindow="28680" yWindow="-120" windowWidth="29040" windowHeight="15720" xr2:uid="{F0BB7592-C022-4D62-86BB-A9433956D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T15" i="1"/>
  <c r="U15" i="1"/>
  <c r="V15" i="1"/>
  <c r="W15" i="1"/>
  <c r="X15" i="1"/>
  <c r="Y15" i="1"/>
  <c r="Z15" i="1"/>
  <c r="AA15" i="1"/>
  <c r="AB15" i="1"/>
  <c r="AC15" i="1"/>
  <c r="S15" i="1"/>
  <c r="T14" i="1"/>
  <c r="U14" i="1"/>
  <c r="V14" i="1"/>
  <c r="W14" i="1"/>
  <c r="X14" i="1"/>
  <c r="Y14" i="1"/>
  <c r="Z14" i="1"/>
  <c r="AA14" i="1"/>
  <c r="AB14" i="1"/>
  <c r="AC14" i="1"/>
  <c r="S14" i="1"/>
  <c r="AA11" i="1"/>
  <c r="AB11" i="1"/>
  <c r="AC11" i="1"/>
  <c r="T11" i="1"/>
  <c r="U11" i="1"/>
  <c r="V11" i="1"/>
  <c r="W11" i="1"/>
  <c r="X11" i="1"/>
  <c r="Y11" i="1"/>
  <c r="Z11" i="1"/>
  <c r="S11" i="1"/>
  <c r="T10" i="1"/>
  <c r="V10" i="1"/>
  <c r="W10" i="1"/>
  <c r="X10" i="1"/>
  <c r="Y10" i="1"/>
  <c r="Z10" i="1"/>
  <c r="AA10" i="1"/>
  <c r="AB10" i="1"/>
  <c r="AC10" i="1"/>
  <c r="S10" i="1"/>
</calcChain>
</file>

<file path=xl/sharedStrings.xml><?xml version="1.0" encoding="utf-8"?>
<sst xmlns="http://schemas.openxmlformats.org/spreadsheetml/2006/main" count="39" uniqueCount="15">
  <si>
    <t>metric1</t>
    <phoneticPr fontId="1" type="noConversion"/>
  </si>
  <si>
    <t>기존 그냥 그대로 random</t>
    <phoneticPr fontId="1" type="noConversion"/>
  </si>
  <si>
    <t>clientnum</t>
    <phoneticPr fontId="1" type="noConversion"/>
  </si>
  <si>
    <t>metric2</t>
    <phoneticPr fontId="1" type="noConversion"/>
  </si>
  <si>
    <t>show만</t>
    <phoneticPr fontId="1" type="noConversion"/>
  </si>
  <si>
    <t>task2</t>
    <phoneticPr fontId="1" type="noConversion"/>
  </si>
  <si>
    <t>metric3</t>
    <phoneticPr fontId="1" type="noConversion"/>
  </si>
  <si>
    <t>buysell</t>
    <phoneticPr fontId="1" type="noConversion"/>
  </si>
  <si>
    <t>task1</t>
    <phoneticPr fontId="1" type="noConversion"/>
  </si>
  <si>
    <t>task2
metric1</t>
    <phoneticPr fontId="1" type="noConversion"/>
  </si>
  <si>
    <t>task2
metric2</t>
    <phoneticPr fontId="1" type="noConversion"/>
  </si>
  <si>
    <t>task2
metric3</t>
    <phoneticPr fontId="1" type="noConversion"/>
  </si>
  <si>
    <t>task1
metric1</t>
    <phoneticPr fontId="1" type="noConversion"/>
  </si>
  <si>
    <t>task1
metric2</t>
    <phoneticPr fontId="1" type="noConversion"/>
  </si>
  <si>
    <t>task1
metric3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</si>
</sst>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Overall Elapsed Time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Sheet1!$E$2</c:f>
              <c:strCache>
                <c:ptCount val="1"/>
                <c:pt idx="0">
                  <c:v>task1
metric1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Sheet1!$F$2:$P$2</c:f>
              <c:numCache>
                <c:formatCode>General</c:formatCode>
                <c:ptCount val="11"/>
                <c:pt idx="0">
                  <c:v>12130</c:v>
                </c:pt>
                <c:pt idx="1">
                  <c:v>108107</c:v>
                </c:pt>
                <c:pt idx="2">
                  <c:v>1121962</c:v>
                </c:pt>
                <c:pt idx="3">
                  <c:v>1161108</c:v>
                </c:pt>
                <c:pt idx="4">
                  <c:v>2101489</c:v>
                </c:pt>
                <c:pt idx="5">
                  <c:v>2121801</c:v>
                </c:pt>
                <c:pt idx="6">
                  <c:v>1608641</c:v>
                </c:pt>
                <c:pt idx="7">
                  <c:v>2167592</c:v>
                </c:pt>
                <c:pt idx="8">
                  <c:v>2197996</c:v>
                </c:pt>
                <c:pt idx="9">
                  <c:v>2172450</c:v>
                </c:pt>
                <c:pt idx="10">
                  <c:v>2848460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5-413D-A79C-ED7023A46967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task1
metric2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Sheet1!$F$3:$P$3</c:f>
              <c:numCache>
                <c:formatCode>General</c:formatCode>
                <c:ptCount val="11"/>
                <c:pt idx="0">
                  <c:v>12196</c:v>
                </c:pt>
                <c:pt idx="1">
                  <c:v>110504</c:v>
                </c:pt>
                <c:pt idx="2">
                  <c:v>1102843</c:v>
                </c:pt>
                <c:pt idx="3">
                  <c:v>1180483</c:v>
                </c:pt>
                <c:pt idx="4">
                  <c:v>2090953</c:v>
                </c:pt>
                <c:pt idx="5">
                  <c:v>1507816</c:v>
                </c:pt>
                <c:pt idx="6">
                  <c:v>1580236</c:v>
                </c:pt>
                <c:pt idx="7">
                  <c:v>1633307</c:v>
                </c:pt>
                <c:pt idx="8">
                  <c:v>2159822</c:v>
                </c:pt>
                <c:pt idx="9">
                  <c:v>2239051</c:v>
                </c:pt>
                <c:pt idx="10">
                  <c:v>2212931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5-413D-A79C-ED7023A46967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task1
metric3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Sheet1!$F$4:$P$4</c:f>
              <c:numCache>
                <c:formatCode>General</c:formatCode>
                <c:ptCount val="11"/>
                <c:pt idx="0">
                  <c:v>10826</c:v>
                </c:pt>
                <c:pt idx="1">
                  <c:v>108338</c:v>
                </c:pt>
                <c:pt idx="2">
                  <c:v>1097597</c:v>
                </c:pt>
                <c:pt idx="3">
                  <c:v>1213459</c:v>
                </c:pt>
                <c:pt idx="4">
                  <c:v>1375447</c:v>
                </c:pt>
                <c:pt idx="5">
                  <c:v>1392936</c:v>
                </c:pt>
                <c:pt idx="6">
                  <c:v>2154834</c:v>
                </c:pt>
                <c:pt idx="7">
                  <c:v>1962245</c:v>
                </c:pt>
                <c:pt idx="8">
                  <c:v>2186525</c:v>
                </c:pt>
                <c:pt idx="9">
                  <c:v>2188135</c:v>
                </c:pt>
                <c:pt idx="10">
                  <c:v>2814130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5-413D-A79C-ED7023A46967}"/>
            </c:ext>
          </c:extLst>
        </c:ser>
        <c:ser>
          <c:idx val="4"/>
          <c:order val="4"/>
          <c:tx>
            <c:strRef>
              <c:f>Sheet1!$E$5</c:f>
              <c:strCache>
                <c:ptCount val="1"/>
                <c:pt idx="0">
                  <c:v>task2
metric1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Sheet1!$F$5:$P$5</c:f>
              <c:numCache>
                <c:formatCode>General</c:formatCode>
                <c:ptCount val="11"/>
                <c:pt idx="0">
                  <c:v>8442</c:v>
                </c:pt>
                <c:pt idx="1">
                  <c:v>23843</c:v>
                </c:pt>
                <c:pt idx="2">
                  <c:v>35043</c:v>
                </c:pt>
                <c:pt idx="3">
                  <c:v>103406</c:v>
                </c:pt>
                <c:pt idx="4">
                  <c:v>56335</c:v>
                </c:pt>
                <c:pt idx="5">
                  <c:v>66986</c:v>
                </c:pt>
                <c:pt idx="6">
                  <c:v>94015</c:v>
                </c:pt>
                <c:pt idx="7">
                  <c:v>88222</c:v>
                </c:pt>
                <c:pt idx="8">
                  <c:v>101285</c:v>
                </c:pt>
                <c:pt idx="9">
                  <c:v>110250</c:v>
                </c:pt>
                <c:pt idx="10">
                  <c:v>116856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D5-413D-A79C-ED7023A46967}"/>
            </c:ext>
          </c:extLst>
        </c:ser>
        <c:ser>
          <c:idx val="5"/>
          <c:order val="5"/>
          <c:tx>
            <c:strRef>
              <c:f>Sheet1!$E$6</c:f>
              <c:strCache>
                <c:ptCount val="1"/>
                <c:pt idx="0">
                  <c:v>task2
metric2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Sheet1!$F$6:$P$6</c:f>
              <c:numCache>
                <c:formatCode>General</c:formatCode>
                <c:ptCount val="11"/>
                <c:pt idx="0">
                  <c:v>7773</c:v>
                </c:pt>
                <c:pt idx="1">
                  <c:v>22452</c:v>
                </c:pt>
                <c:pt idx="2">
                  <c:v>35661</c:v>
                </c:pt>
                <c:pt idx="3">
                  <c:v>69809</c:v>
                </c:pt>
                <c:pt idx="4">
                  <c:v>56077</c:v>
                </c:pt>
                <c:pt idx="5">
                  <c:v>68709</c:v>
                </c:pt>
                <c:pt idx="6">
                  <c:v>93775</c:v>
                </c:pt>
                <c:pt idx="7">
                  <c:v>88633</c:v>
                </c:pt>
                <c:pt idx="8">
                  <c:v>98268</c:v>
                </c:pt>
                <c:pt idx="9">
                  <c:v>113087</c:v>
                </c:pt>
                <c:pt idx="10">
                  <c:v>120676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D5-413D-A79C-ED7023A46967}"/>
            </c:ext>
          </c:extLst>
        </c:ser>
        <c:ser>
          <c:idx val="6"/>
          <c:order val="6"/>
          <c:tx>
            <c:strRef>
              <c:f>Sheet1!$E$7</c:f>
              <c:strCache>
                <c:ptCount val="1"/>
                <c:pt idx="0">
                  <c:v>task2
metric3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Sheet1!$F$7:$P$7</c:f>
              <c:numCache>
                <c:formatCode>General</c:formatCode>
                <c:ptCount val="11"/>
                <c:pt idx="0">
                  <c:v>8785</c:v>
                </c:pt>
                <c:pt idx="1">
                  <c:v>22425</c:v>
                </c:pt>
                <c:pt idx="2">
                  <c:v>33652</c:v>
                </c:pt>
                <c:pt idx="3">
                  <c:v>73065</c:v>
                </c:pt>
                <c:pt idx="4">
                  <c:v>56010</c:v>
                </c:pt>
                <c:pt idx="5">
                  <c:v>68961</c:v>
                </c:pt>
                <c:pt idx="6">
                  <c:v>81272</c:v>
                </c:pt>
                <c:pt idx="7">
                  <c:v>85765</c:v>
                </c:pt>
                <c:pt idx="8">
                  <c:v>101447</c:v>
                </c:pt>
                <c:pt idx="9">
                  <c:v>111726</c:v>
                </c:pt>
                <c:pt idx="10">
                  <c:v>124153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D5-413D-A79C-ED7023A46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232368"/>
        <c:axId val="1072233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clientnum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Sheet1!$F$1:$P$1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  <c:pt idx="7">
                        <c:v>700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6D5-413D-A79C-ED7023A46967}"/>
                  </c:ext>
                </c:extLst>
              </c15:ser>
            </c15:filteredLineSeries>
          </c:ext>
        </c:extLst>
      </c:lineChart>
      <c:catAx>
        <c:axId val="107223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2233808"/>
        <c:crosses val="autoZero"/>
        <c:auto val="1"/>
        <c:lblAlgn val="ctr"/>
        <c:lblOffset val="100"/>
        <c:noMultiLvlLbl val="0"/>
      </c:catAx>
      <c:valAx>
        <c:axId val="1072233808"/>
        <c:scaling>
          <c:orientation val="minMax"/>
          <c:max val="3000000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223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Metric1</a:t>
            </a:r>
            <a:r>
              <a:rPr lang="en-US" altLang="ko-KR" baseline="0"/>
              <a:t> Elapsed time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task1
metric1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Sheet1!$F$9:$P$9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Sheet1!$F$2:$P$2</c:f>
              <c:numCache>
                <c:formatCode>General</c:formatCode>
                <c:ptCount val="11"/>
                <c:pt idx="0">
                  <c:v>12130</c:v>
                </c:pt>
                <c:pt idx="1">
                  <c:v>108107</c:v>
                </c:pt>
                <c:pt idx="2">
                  <c:v>1121962</c:v>
                </c:pt>
                <c:pt idx="3">
                  <c:v>1161108</c:v>
                </c:pt>
                <c:pt idx="4">
                  <c:v>2101489</c:v>
                </c:pt>
                <c:pt idx="5">
                  <c:v>2121801</c:v>
                </c:pt>
                <c:pt idx="6">
                  <c:v>1608641</c:v>
                </c:pt>
                <c:pt idx="7">
                  <c:v>2167592</c:v>
                </c:pt>
                <c:pt idx="8">
                  <c:v>2197996</c:v>
                </c:pt>
                <c:pt idx="9">
                  <c:v>2172450</c:v>
                </c:pt>
                <c:pt idx="10">
                  <c:v>2848460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D-44A6-B295-E0B7485C6824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task2
metric1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Sheet1!$F$9:$P$9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Sheet1!$F$5:$P$5</c:f>
              <c:numCache>
                <c:formatCode>General</c:formatCode>
                <c:ptCount val="11"/>
                <c:pt idx="0">
                  <c:v>8442</c:v>
                </c:pt>
                <c:pt idx="1">
                  <c:v>23843</c:v>
                </c:pt>
                <c:pt idx="2">
                  <c:v>35043</c:v>
                </c:pt>
                <c:pt idx="3">
                  <c:v>103406</c:v>
                </c:pt>
                <c:pt idx="4">
                  <c:v>56335</c:v>
                </c:pt>
                <c:pt idx="5">
                  <c:v>66986</c:v>
                </c:pt>
                <c:pt idx="6">
                  <c:v>94015</c:v>
                </c:pt>
                <c:pt idx="7">
                  <c:v>88222</c:v>
                </c:pt>
                <c:pt idx="8">
                  <c:v>101285</c:v>
                </c:pt>
                <c:pt idx="9">
                  <c:v>110250</c:v>
                </c:pt>
                <c:pt idx="10">
                  <c:v>116856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D-44A6-B295-E0B7485C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279184"/>
        <c:axId val="1152280624"/>
      </c:lineChart>
      <c:catAx>
        <c:axId val="11522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2280624"/>
        <c:crosses val="autoZero"/>
        <c:auto val="1"/>
        <c:lblAlgn val="ctr"/>
        <c:lblOffset val="100"/>
        <c:noMultiLvlLbl val="0"/>
      </c:catAx>
      <c:valAx>
        <c:axId val="11522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227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Metric2</a:t>
            </a:r>
            <a:r>
              <a:rPr lang="en-US" altLang="ko-KR" baseline="0"/>
              <a:t> Elapsed Time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task1
metric2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Sheet1!$F$13:$P$13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Sheet1!$F$3:$P$3</c:f>
              <c:numCache>
                <c:formatCode>General</c:formatCode>
                <c:ptCount val="11"/>
                <c:pt idx="0">
                  <c:v>12196</c:v>
                </c:pt>
                <c:pt idx="1">
                  <c:v>110504</c:v>
                </c:pt>
                <c:pt idx="2">
                  <c:v>1102843</c:v>
                </c:pt>
                <c:pt idx="3">
                  <c:v>1180483</c:v>
                </c:pt>
                <c:pt idx="4">
                  <c:v>2090953</c:v>
                </c:pt>
                <c:pt idx="5">
                  <c:v>1507816</c:v>
                </c:pt>
                <c:pt idx="6">
                  <c:v>1580236</c:v>
                </c:pt>
                <c:pt idx="7">
                  <c:v>1633307</c:v>
                </c:pt>
                <c:pt idx="8">
                  <c:v>2159822</c:v>
                </c:pt>
                <c:pt idx="9">
                  <c:v>2239051</c:v>
                </c:pt>
                <c:pt idx="10">
                  <c:v>2212931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C-4B26-9644-549079E5A537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task2
metric2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Sheet1!$F$13:$P$13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Sheet1!$F$6:$P$6</c:f>
              <c:numCache>
                <c:formatCode>General</c:formatCode>
                <c:ptCount val="11"/>
                <c:pt idx="0">
                  <c:v>7773</c:v>
                </c:pt>
                <c:pt idx="1">
                  <c:v>22452</c:v>
                </c:pt>
                <c:pt idx="2">
                  <c:v>35661</c:v>
                </c:pt>
                <c:pt idx="3">
                  <c:v>69809</c:v>
                </c:pt>
                <c:pt idx="4">
                  <c:v>56077</c:v>
                </c:pt>
                <c:pt idx="5">
                  <c:v>68709</c:v>
                </c:pt>
                <c:pt idx="6">
                  <c:v>93775</c:v>
                </c:pt>
                <c:pt idx="7">
                  <c:v>88633</c:v>
                </c:pt>
                <c:pt idx="8">
                  <c:v>98268</c:v>
                </c:pt>
                <c:pt idx="9">
                  <c:v>113087</c:v>
                </c:pt>
                <c:pt idx="10">
                  <c:v>120676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C-4B26-9644-549079E5A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266512"/>
        <c:axId val="1074264592"/>
      </c:lineChart>
      <c:catAx>
        <c:axId val="107426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4264592"/>
        <c:crosses val="autoZero"/>
        <c:auto val="1"/>
        <c:lblAlgn val="ctr"/>
        <c:lblOffset val="100"/>
        <c:noMultiLvlLbl val="0"/>
      </c:catAx>
      <c:valAx>
        <c:axId val="10742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426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Metric3</a:t>
            </a:r>
            <a:r>
              <a:rPr lang="en-US" altLang="ko-KR" baseline="0"/>
              <a:t> Elapsed Time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task1
metric3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Sheet1!$F$17:$P$17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Sheet1!$F$4:$P$4</c:f>
              <c:numCache>
                <c:formatCode>General</c:formatCode>
                <c:ptCount val="11"/>
                <c:pt idx="0">
                  <c:v>10826</c:v>
                </c:pt>
                <c:pt idx="1">
                  <c:v>108338</c:v>
                </c:pt>
                <c:pt idx="2">
                  <c:v>1097597</c:v>
                </c:pt>
                <c:pt idx="3">
                  <c:v>1213459</c:v>
                </c:pt>
                <c:pt idx="4">
                  <c:v>1375447</c:v>
                </c:pt>
                <c:pt idx="5">
                  <c:v>1392936</c:v>
                </c:pt>
                <c:pt idx="6">
                  <c:v>2154834</c:v>
                </c:pt>
                <c:pt idx="7">
                  <c:v>1962245</c:v>
                </c:pt>
                <c:pt idx="8">
                  <c:v>2186525</c:v>
                </c:pt>
                <c:pt idx="9">
                  <c:v>2188135</c:v>
                </c:pt>
                <c:pt idx="10">
                  <c:v>2814130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2-4879-9679-774E18C36268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task2
metric3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Sheet1!$F$17:$P$17</c:f>
              <c:numCache>
                <c:formatCode>General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Sheet1!$F$7:$P$7</c:f>
              <c:numCache>
                <c:formatCode>General</c:formatCode>
                <c:ptCount val="11"/>
                <c:pt idx="0">
                  <c:v>8785</c:v>
                </c:pt>
                <c:pt idx="1">
                  <c:v>22425</c:v>
                </c:pt>
                <c:pt idx="2">
                  <c:v>33652</c:v>
                </c:pt>
                <c:pt idx="3">
                  <c:v>73065</c:v>
                </c:pt>
                <c:pt idx="4">
                  <c:v>56010</c:v>
                </c:pt>
                <c:pt idx="5">
                  <c:v>68961</c:v>
                </c:pt>
                <c:pt idx="6">
                  <c:v>81272</c:v>
                </c:pt>
                <c:pt idx="7">
                  <c:v>85765</c:v>
                </c:pt>
                <c:pt idx="8">
                  <c:v>101447</c:v>
                </c:pt>
                <c:pt idx="9">
                  <c:v>111726</c:v>
                </c:pt>
                <c:pt idx="10">
                  <c:v>124153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2-4879-9679-774E18C36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518640"/>
        <c:axId val="944525360"/>
      </c:lineChart>
      <c:catAx>
        <c:axId val="9445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25360"/>
        <c:crosses val="autoZero"/>
        <c:auto val="1"/>
        <c:lblAlgn val="ctr"/>
        <c:lblOffset val="100"/>
        <c:noMultiLvlLbl val="0"/>
      </c:catAx>
      <c:valAx>
        <c:axId val="9445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Metric1 </a:t>
            </a:r>
            <a:r>
              <a:rPr lang="ko-KR" altLang="en-US"/>
              <a:t>동시 처리율</a:t>
            </a:r>
            <a:r>
              <a:rPr lang="en-US" altLang="ko-KR" baseline="0"/>
              <a:t> 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Sheet1!$R$10</c:f>
              <c:strCache>
                <c:ptCount val="1"/>
                <c:pt idx="0">
                  <c:v>task1
metric1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Sheet1!$S$9:$AC$9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Sheet1!$S$10:$AC$10</c:f>
              <c:numCache>
                <c:formatCode>0_);[Red]\(0\)</c:formatCode>
                <c:ptCount val="11"/>
                <c:pt idx="0">
                  <c:v>1648.8046166529266</c:v>
                </c:pt>
                <c:pt idx="1">
                  <c:v>9250.0948134718383</c:v>
                </c:pt>
                <c:pt idx="2">
                  <c:v>1782.591567272332</c:v>
                </c:pt>
                <c:pt idx="3">
                  <c:v>2583.7389803532487</c:v>
                </c:pt>
                <c:pt idx="4">
                  <c:v>1903.4122948062065</c:v>
                </c:pt>
                <c:pt idx="5">
                  <c:v>2356.4886622260992</c:v>
                </c:pt>
                <c:pt idx="6">
                  <c:v>3729.8564440418963</c:v>
                </c:pt>
                <c:pt idx="7">
                  <c:v>3229.3900328106029</c:v>
                </c:pt>
                <c:pt idx="8">
                  <c:v>3639.6790531010979</c:v>
                </c:pt>
                <c:pt idx="9">
                  <c:v>4142.7880963888701</c:v>
                </c:pt>
                <c:pt idx="10">
                  <c:v>3510.668922856561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C-4042-9813-4905B6A7CB33}"/>
            </c:ext>
          </c:extLst>
        </c:ser>
        <c:ser>
          <c:idx val="1"/>
          <c:order val="1"/>
          <c:tx>
            <c:strRef>
              <c:f>Sheet1!$R$11</c:f>
              <c:strCache>
                <c:ptCount val="1"/>
                <c:pt idx="0">
                  <c:v>task2
metric1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Sheet1!$S$9:$AC$9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Sheet1!$S$11:$AC$11</c:f>
              <c:numCache>
                <c:formatCode>0_);[Red]\(0\)</c:formatCode>
                <c:ptCount val="11"/>
                <c:pt idx="0">
                  <c:v>2369.106846718787</c:v>
                </c:pt>
                <c:pt idx="1">
                  <c:v>41941.030910539783</c:v>
                </c:pt>
                <c:pt idx="2">
                  <c:v>57072.739206118204</c:v>
                </c:pt>
                <c:pt idx="3">
                  <c:v>29011.856178558304</c:v>
                </c:pt>
                <c:pt idx="4">
                  <c:v>71003.816455134453</c:v>
                </c:pt>
                <c:pt idx="5">
                  <c:v>74642.462604126238</c:v>
                </c:pt>
                <c:pt idx="6">
                  <c:v>63819.603254799767</c:v>
                </c:pt>
                <c:pt idx="7">
                  <c:v>79345.288023395537</c:v>
                </c:pt>
                <c:pt idx="8">
                  <c:v>78985.042207631923</c:v>
                </c:pt>
                <c:pt idx="9">
                  <c:v>81632.653061224482</c:v>
                </c:pt>
                <c:pt idx="10">
                  <c:v>85575.409050455259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C-4042-9813-4905B6A7C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098272"/>
        <c:axId val="1157097312"/>
      </c:lineChart>
      <c:catAx>
        <c:axId val="115709827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7097312"/>
        <c:crosses val="autoZero"/>
        <c:auto val="1"/>
        <c:lblAlgn val="ctr"/>
        <c:lblOffset val="100"/>
        <c:noMultiLvlLbl val="0"/>
      </c:catAx>
      <c:valAx>
        <c:axId val="11570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709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Metric2 </a:t>
            </a:r>
            <a:r>
              <a:rPr lang="ko-KR" altLang="en-US"/>
              <a:t>동시 처리율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Sheet1!$R$14</c:f>
              <c:strCache>
                <c:ptCount val="1"/>
                <c:pt idx="0">
                  <c:v>task1
metric2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Sheet1!$S$13:$AC$13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Sheet1!$S$14:$AC$14</c:f>
              <c:numCache>
                <c:formatCode>0_);[Red]\(0\)</c:formatCode>
                <c:ptCount val="11"/>
                <c:pt idx="0">
                  <c:v>1639.881928501148</c:v>
                </c:pt>
                <c:pt idx="1">
                  <c:v>9049.4461738941573</c:v>
                </c:pt>
                <c:pt idx="2">
                  <c:v>1813.4947585467742</c:v>
                </c:pt>
                <c:pt idx="3">
                  <c:v>2541.332657903587</c:v>
                </c:pt>
                <c:pt idx="4">
                  <c:v>1913.0033051914606</c:v>
                </c:pt>
                <c:pt idx="5">
                  <c:v>3316.0544787958211</c:v>
                </c:pt>
                <c:pt idx="6">
                  <c:v>3796.9012223490668</c:v>
                </c:pt>
                <c:pt idx="7">
                  <c:v>4285.783383038216</c:v>
                </c:pt>
                <c:pt idx="8">
                  <c:v>3704.0089414775844</c:v>
                </c:pt>
                <c:pt idx="9">
                  <c:v>4019.5600725485933</c:v>
                </c:pt>
                <c:pt idx="10">
                  <c:v>4518.893720590474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8-414E-8E4C-804C3536F62B}"/>
            </c:ext>
          </c:extLst>
        </c:ser>
        <c:ser>
          <c:idx val="1"/>
          <c:order val="1"/>
          <c:tx>
            <c:strRef>
              <c:f>Sheet1!$R$15</c:f>
              <c:strCache>
                <c:ptCount val="1"/>
                <c:pt idx="0">
                  <c:v>task2
metric2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Sheet1!$S$13:$AC$13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Sheet1!$S$15:$AC$15</c:f>
              <c:numCache>
                <c:formatCode>0_);[Red]\(0\)</c:formatCode>
                <c:ptCount val="11"/>
                <c:pt idx="0">
                  <c:v>2573.0091341824264</c:v>
                </c:pt>
                <c:pt idx="1">
                  <c:v>44539.461963299487</c:v>
                </c:pt>
                <c:pt idx="2">
                  <c:v>56083.676845854017</c:v>
                </c:pt>
                <c:pt idx="3">
                  <c:v>42974.401581457983</c:v>
                </c:pt>
                <c:pt idx="4">
                  <c:v>71330.492002068582</c:v>
                </c:pt>
                <c:pt idx="5">
                  <c:v>72770.670508958065</c:v>
                </c:pt>
                <c:pt idx="6">
                  <c:v>63982.937883231141</c:v>
                </c:pt>
                <c:pt idx="7">
                  <c:v>78977.356063768573</c:v>
                </c:pt>
                <c:pt idx="8">
                  <c:v>81410.021573655715</c:v>
                </c:pt>
                <c:pt idx="9">
                  <c:v>79584.744488756449</c:v>
                </c:pt>
                <c:pt idx="10">
                  <c:v>82866.51861182008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8-414E-8E4C-804C3536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490832"/>
        <c:axId val="954488432"/>
      </c:lineChart>
      <c:catAx>
        <c:axId val="95449083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4488432"/>
        <c:crosses val="autoZero"/>
        <c:auto val="1"/>
        <c:lblAlgn val="ctr"/>
        <c:lblOffset val="100"/>
        <c:noMultiLvlLbl val="0"/>
      </c:catAx>
      <c:valAx>
        <c:axId val="9544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44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Metric3</a:t>
            </a:r>
            <a:r>
              <a:rPr lang="en-US" altLang="ko-KR" baseline="0"/>
              <a:t> </a:t>
            </a:r>
            <a:r>
              <a:rPr lang="ko-KR" altLang="en-US" baseline="0"/>
              <a:t>동시 처리율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Sheet1!$R$18</c:f>
              <c:strCache>
                <c:ptCount val="1"/>
                <c:pt idx="0">
                  <c:v>task1
metric3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Sheet1!$S$17:$AC$17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Sheet1!$S$18:$AC$18</c:f>
              <c:numCache>
                <c:formatCode>0_);[Red]\(0\)</c:formatCode>
                <c:ptCount val="11"/>
                <c:pt idx="0">
                  <c:v>1847.4043968224644</c:v>
                </c:pt>
                <c:pt idx="1">
                  <c:v>9230.3716147612104</c:v>
                </c:pt>
                <c:pt idx="2">
                  <c:v>1822.1624148025187</c:v>
                </c:pt>
                <c:pt idx="3">
                  <c:v>2472.2714158451172</c:v>
                </c:pt>
                <c:pt idx="4">
                  <c:v>2908.1454974273815</c:v>
                </c:pt>
                <c:pt idx="5">
                  <c:v>3589.5403665351459</c:v>
                </c:pt>
                <c:pt idx="6">
                  <c:v>2784.4372234705779</c:v>
                </c:pt>
                <c:pt idx="7">
                  <c:v>3567.3425081985174</c:v>
                </c:pt>
                <c:pt idx="8">
                  <c:v>3658.773624815632</c:v>
                </c:pt>
                <c:pt idx="9">
                  <c:v>4113.0917425113166</c:v>
                </c:pt>
                <c:pt idx="10">
                  <c:v>3553.4961071450148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9-45AB-AFB1-15991E91D809}"/>
            </c:ext>
          </c:extLst>
        </c:ser>
        <c:ser>
          <c:idx val="1"/>
          <c:order val="1"/>
          <c:tx>
            <c:strRef>
              <c:f>Sheet1!$R$19</c:f>
              <c:strCache>
                <c:ptCount val="1"/>
                <c:pt idx="0">
                  <c:v>task2
metric3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Sheet1!$S$17:$AC$17</c:f>
              <c:numCache>
                <c:formatCode>0_);[Red]\(0\)</c:formatCode>
                <c:ptCount val="11"/>
                <c:pt idx="0">
                  <c:v>2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Sheet1!$S$19:$AC$19</c:f>
              <c:numCache>
                <c:formatCode>0_);[Red]\(0\)</c:formatCode>
                <c:ptCount val="11"/>
                <c:pt idx="0">
                  <c:v>2276.6078542970977</c:v>
                </c:pt>
                <c:pt idx="1">
                  <c:v>44593.088071348939</c:v>
                </c:pt>
                <c:pt idx="2">
                  <c:v>59431.831689052655</c:v>
                </c:pt>
                <c:pt idx="3">
                  <c:v>41059.330732909053</c:v>
                </c:pt>
                <c:pt idx="4">
                  <c:v>71415.81860382075</c:v>
                </c:pt>
                <c:pt idx="5">
                  <c:v>72504.7490610635</c:v>
                </c:pt>
                <c:pt idx="6">
                  <c:v>73826.163992518952</c:v>
                </c:pt>
                <c:pt idx="7">
                  <c:v>81618.375794321692</c:v>
                </c:pt>
                <c:pt idx="8">
                  <c:v>78858.91154987333</c:v>
                </c:pt>
                <c:pt idx="9">
                  <c:v>80554.212985339123</c:v>
                </c:pt>
                <c:pt idx="10">
                  <c:v>80545.778193036007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9-45AB-AFB1-15991E91D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85072"/>
        <c:axId val="1153083632"/>
      </c:lineChart>
      <c:catAx>
        <c:axId val="115308507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3083632"/>
        <c:crosses val="autoZero"/>
        <c:auto val="1"/>
        <c:lblAlgn val="ctr"/>
        <c:lblOffset val="100"/>
        <c:noMultiLvlLbl val="0"/>
      </c:catAx>
      <c:valAx>
        <c:axId val="11530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308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0</xdr:row>
      <xdr:rowOff>42862</xdr:rowOff>
    </xdr:from>
    <xdr:to>
      <xdr:col>23</xdr:col>
      <xdr:colOff>581025</xdr:colOff>
      <xdr:row>7</xdr:row>
      <xdr:rowOff>52387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88A2CA5-22FD-5174-AD36-1DAD35E3D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71437</xdr:colOff>
      <xdr:row>24</xdr:row>
      <xdr:rowOff>71437</xdr:rowOff>
    </xdr:from>
    <xdr:to>
      <xdr:col>6</xdr:col>
      <xdr:colOff>414337</xdr:colOff>
      <xdr:row>37</xdr:row>
      <xdr:rowOff>90487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72D338B-070F-7E0C-BB78-9D0210CBB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490537</xdr:colOff>
      <xdr:row>24</xdr:row>
      <xdr:rowOff>61912</xdr:rowOff>
    </xdr:from>
    <xdr:to>
      <xdr:col>12</xdr:col>
      <xdr:colOff>642937</xdr:colOff>
      <xdr:row>37</xdr:row>
      <xdr:rowOff>80962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63C861D8-6A7D-7CC8-3900-7EAB48594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52387</xdr:colOff>
      <xdr:row>24</xdr:row>
      <xdr:rowOff>52387</xdr:rowOff>
    </xdr:from>
    <xdr:to>
      <xdr:col>19</xdr:col>
      <xdr:colOff>280987</xdr:colOff>
      <xdr:row>37</xdr:row>
      <xdr:rowOff>71437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73C4C268-055A-79C5-135E-B36454F64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609600</xdr:colOff>
      <xdr:row>24</xdr:row>
      <xdr:rowOff>52387</xdr:rowOff>
    </xdr:from>
    <xdr:to>
      <xdr:col>26</xdr:col>
      <xdr:colOff>114300</xdr:colOff>
      <xdr:row>37</xdr:row>
      <xdr:rowOff>71437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DD54407-0377-84CE-62A7-0DE27A7AB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585787</xdr:colOff>
      <xdr:row>37</xdr:row>
      <xdr:rowOff>52387</xdr:rowOff>
    </xdr:from>
    <xdr:to>
      <xdr:col>26</xdr:col>
      <xdr:colOff>90487</xdr:colOff>
      <xdr:row>50</xdr:row>
      <xdr:rowOff>71437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22C0005-D4F2-36DD-04D5-878DFE048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252412</xdr:colOff>
      <xdr:row>24</xdr:row>
      <xdr:rowOff>14287</xdr:rowOff>
    </xdr:from>
    <xdr:to>
      <xdr:col>32</xdr:col>
      <xdr:colOff>519112</xdr:colOff>
      <xdr:row>37</xdr:row>
      <xdr:rowOff>33337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DE8423A5-4F7A-80D4-B6F5-064D1E21C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F965-7DB5-432E-BF49-B178F19B3AD0}">
  <dimension ref="A1:AC19"/>
  <sheetViews>
    <sheetView tabSelected="1" topLeftCell="O20" workbookViewId="0">
      <selection activeCell="AF52" sqref="AF52"/>
    </sheetView>
  </sheetViews>
  <sheetFormatPr defaultRowHeight="16.5" x14ac:dyDescent="0.3"/>
  <cols>
    <col min="6" max="7" width="10.5" bestFit="1" customWidth="1"/>
    <col min="8" max="27" width="9.5" bestFit="1" customWidth="1"/>
    <col min="29" max="53" width="9.5" bestFit="1" customWidth="1"/>
  </cols>
  <sheetData>
    <row r="1" spans="1:29" x14ac:dyDescent="0.3">
      <c r="A1" t="s">
        <v>8</v>
      </c>
      <c r="E1" s="1" t="s">
        <v>2</v>
      </c>
      <c r="F1" s="2">
        <v>2</v>
      </c>
      <c r="G1" s="2">
        <v>100</v>
      </c>
      <c r="H1" s="2">
        <v>200</v>
      </c>
      <c r="I1" s="2">
        <v>300</v>
      </c>
      <c r="J1" s="2">
        <v>400</v>
      </c>
      <c r="K1" s="2">
        <v>500</v>
      </c>
      <c r="L1" s="2">
        <v>600</v>
      </c>
      <c r="M1" s="2">
        <v>700</v>
      </c>
      <c r="N1" s="2">
        <v>800</v>
      </c>
      <c r="O1" s="2">
        <v>900</v>
      </c>
      <c r="P1" s="3">
        <v>1000</v>
      </c>
    </row>
    <row r="2" spans="1:29" ht="33" x14ac:dyDescent="0.3">
      <c r="A2" t="s">
        <v>0</v>
      </c>
      <c r="B2" t="s">
        <v>1</v>
      </c>
      <c r="E2" s="4" t="s">
        <v>12</v>
      </c>
      <c r="F2" s="6">
        <v>12130</v>
      </c>
      <c r="G2" s="6">
        <v>108107</v>
      </c>
      <c r="H2" s="6">
        <v>1121962</v>
      </c>
      <c r="I2" s="6">
        <v>1161108</v>
      </c>
      <c r="J2" s="6">
        <v>2101489</v>
      </c>
      <c r="K2" s="6">
        <v>2121801</v>
      </c>
      <c r="L2" s="6">
        <v>1608641</v>
      </c>
      <c r="M2" s="6">
        <v>2167592</v>
      </c>
      <c r="N2" s="6">
        <v>2197996</v>
      </c>
      <c r="O2" s="6">
        <v>2172450</v>
      </c>
      <c r="P2" s="7">
        <v>2848460</v>
      </c>
    </row>
    <row r="3" spans="1:29" ht="33" x14ac:dyDescent="0.3">
      <c r="A3" t="s">
        <v>3</v>
      </c>
      <c r="B3" t="s">
        <v>4</v>
      </c>
      <c r="E3" s="4" t="s">
        <v>13</v>
      </c>
      <c r="F3" s="6">
        <v>12196</v>
      </c>
      <c r="G3" s="6">
        <v>110504</v>
      </c>
      <c r="H3" s="6">
        <v>1102843</v>
      </c>
      <c r="I3" s="6">
        <v>1180483</v>
      </c>
      <c r="J3" s="6">
        <v>2090953</v>
      </c>
      <c r="K3" s="6">
        <v>1507816</v>
      </c>
      <c r="L3" s="6">
        <v>1580236</v>
      </c>
      <c r="M3" s="6">
        <v>1633307</v>
      </c>
      <c r="N3" s="6">
        <v>2159822</v>
      </c>
      <c r="O3" s="6">
        <v>2239051</v>
      </c>
      <c r="P3" s="7">
        <v>2212931</v>
      </c>
    </row>
    <row r="4" spans="1:29" ht="33" x14ac:dyDescent="0.3">
      <c r="A4" t="s">
        <v>6</v>
      </c>
      <c r="B4" t="s">
        <v>7</v>
      </c>
      <c r="E4" s="4" t="s">
        <v>14</v>
      </c>
      <c r="F4" s="6">
        <v>10826</v>
      </c>
      <c r="G4" s="6">
        <v>108338</v>
      </c>
      <c r="H4" s="6">
        <v>1097597</v>
      </c>
      <c r="I4" s="6">
        <v>1213459</v>
      </c>
      <c r="J4" s="6">
        <v>1375447</v>
      </c>
      <c r="K4" s="6">
        <v>1392936</v>
      </c>
      <c r="L4" s="6">
        <v>2154834</v>
      </c>
      <c r="M4" s="6">
        <v>1962245</v>
      </c>
      <c r="N4" s="6">
        <v>2186525</v>
      </c>
      <c r="O4" s="6">
        <v>2188135</v>
      </c>
      <c r="P4" s="7">
        <v>2814130</v>
      </c>
    </row>
    <row r="5" spans="1:29" ht="33" x14ac:dyDescent="0.3">
      <c r="A5" t="s">
        <v>5</v>
      </c>
      <c r="E5" s="4" t="s">
        <v>9</v>
      </c>
      <c r="F5" s="6">
        <v>8442</v>
      </c>
      <c r="G5" s="6">
        <v>23843</v>
      </c>
      <c r="H5" s="6">
        <v>35043</v>
      </c>
      <c r="I5" s="6">
        <v>103406</v>
      </c>
      <c r="J5" s="6">
        <v>56335</v>
      </c>
      <c r="K5" s="6">
        <v>66986</v>
      </c>
      <c r="L5" s="6">
        <v>94015</v>
      </c>
      <c r="M5" s="6">
        <v>88222</v>
      </c>
      <c r="N5" s="6">
        <v>101285</v>
      </c>
      <c r="O5" s="6">
        <v>110250</v>
      </c>
      <c r="P5" s="7">
        <v>116856</v>
      </c>
    </row>
    <row r="6" spans="1:29" ht="33" x14ac:dyDescent="0.3">
      <c r="A6" t="s">
        <v>0</v>
      </c>
      <c r="B6" t="s">
        <v>1</v>
      </c>
      <c r="E6" s="4" t="s">
        <v>10</v>
      </c>
      <c r="F6" s="6">
        <v>7773</v>
      </c>
      <c r="G6" s="6">
        <v>22452</v>
      </c>
      <c r="H6" s="6">
        <v>35661</v>
      </c>
      <c r="I6" s="6">
        <v>69809</v>
      </c>
      <c r="J6" s="6">
        <v>56077</v>
      </c>
      <c r="K6" s="6">
        <v>68709</v>
      </c>
      <c r="L6" s="6">
        <v>93775</v>
      </c>
      <c r="M6" s="6">
        <v>88633</v>
      </c>
      <c r="N6" s="6">
        <v>98268</v>
      </c>
      <c r="O6" s="6">
        <v>113087</v>
      </c>
      <c r="P6" s="7">
        <v>120676</v>
      </c>
    </row>
    <row r="7" spans="1:29" ht="33.75" thickBot="1" x14ac:dyDescent="0.35">
      <c r="A7" t="s">
        <v>3</v>
      </c>
      <c r="B7" t="s">
        <v>4</v>
      </c>
      <c r="E7" s="5" t="s">
        <v>11</v>
      </c>
      <c r="F7" s="8">
        <v>8785</v>
      </c>
      <c r="G7" s="8">
        <v>22425</v>
      </c>
      <c r="H7" s="8">
        <v>33652</v>
      </c>
      <c r="I7" s="8">
        <v>73065</v>
      </c>
      <c r="J7" s="8">
        <v>56010</v>
      </c>
      <c r="K7" s="8">
        <v>68961</v>
      </c>
      <c r="L7" s="8">
        <v>81272</v>
      </c>
      <c r="M7" s="8">
        <v>85765</v>
      </c>
      <c r="N7" s="8">
        <v>101447</v>
      </c>
      <c r="O7" s="8">
        <v>111726</v>
      </c>
      <c r="P7" s="9">
        <v>124153</v>
      </c>
    </row>
    <row r="8" spans="1:29" ht="17.25" thickBot="1" x14ac:dyDescent="0.35">
      <c r="A8" t="s">
        <v>6</v>
      </c>
      <c r="B8" t="s">
        <v>7</v>
      </c>
    </row>
    <row r="9" spans="1:29" x14ac:dyDescent="0.3">
      <c r="E9" s="10" t="s">
        <v>2</v>
      </c>
      <c r="F9" s="11">
        <v>2</v>
      </c>
      <c r="G9" s="11">
        <v>100</v>
      </c>
      <c r="H9" s="11">
        <v>200</v>
      </c>
      <c r="I9" s="11">
        <v>300</v>
      </c>
      <c r="J9" s="11">
        <v>400</v>
      </c>
      <c r="K9" s="11">
        <v>500</v>
      </c>
      <c r="L9" s="11">
        <v>600</v>
      </c>
      <c r="M9" s="11">
        <v>700</v>
      </c>
      <c r="N9" s="11">
        <v>800</v>
      </c>
      <c r="O9" s="11">
        <v>900</v>
      </c>
      <c r="P9" s="12">
        <v>1000</v>
      </c>
      <c r="Q9" s="13"/>
      <c r="R9" s="20" t="s">
        <v>2</v>
      </c>
      <c r="S9" s="21">
        <v>2</v>
      </c>
      <c r="T9" s="21">
        <v>100</v>
      </c>
      <c r="U9" s="21">
        <v>200</v>
      </c>
      <c r="V9" s="21">
        <v>300</v>
      </c>
      <c r="W9" s="21">
        <v>400</v>
      </c>
      <c r="X9" s="21">
        <v>500</v>
      </c>
      <c r="Y9" s="21">
        <v>600</v>
      </c>
      <c r="Z9" s="21">
        <v>700</v>
      </c>
      <c r="AA9" s="21">
        <v>800</v>
      </c>
      <c r="AB9" s="21">
        <v>900</v>
      </c>
      <c r="AC9" s="22">
        <v>1000</v>
      </c>
    </row>
    <row r="10" spans="1:29" ht="19.5" x14ac:dyDescent="0.3">
      <c r="E10" s="14" t="s">
        <v>12</v>
      </c>
      <c r="F10" s="15">
        <v>12130</v>
      </c>
      <c r="G10" s="15">
        <v>108107</v>
      </c>
      <c r="H10" s="15">
        <v>1121962</v>
      </c>
      <c r="I10" s="15">
        <v>1161108</v>
      </c>
      <c r="J10" s="15">
        <v>2101489</v>
      </c>
      <c r="K10" s="15">
        <v>2121801</v>
      </c>
      <c r="L10" s="15">
        <v>1608641</v>
      </c>
      <c r="M10" s="15">
        <v>2167592</v>
      </c>
      <c r="N10" s="15">
        <v>2197996</v>
      </c>
      <c r="O10" s="15">
        <v>2172450</v>
      </c>
      <c r="P10" s="16">
        <v>2848460</v>
      </c>
      <c r="Q10" s="13"/>
      <c r="R10" s="23" t="s">
        <v>12</v>
      </c>
      <c r="S10" s="24">
        <f xml:space="preserve"> 10*F9 / (F10/1000000)</f>
        <v>1648.8046166529266</v>
      </c>
      <c r="T10" s="24">
        <f t="shared" ref="T10:AC10" si="0" xml:space="preserve"> 10*G9 / (G10/1000000)</f>
        <v>9250.0948134718383</v>
      </c>
      <c r="U10" s="24">
        <f xml:space="preserve"> 10*H9 / (H10/1000000)</f>
        <v>1782.591567272332</v>
      </c>
      <c r="V10" s="24">
        <f t="shared" si="0"/>
        <v>2583.7389803532487</v>
      </c>
      <c r="W10" s="24">
        <f t="shared" si="0"/>
        <v>1903.4122948062065</v>
      </c>
      <c r="X10" s="24">
        <f t="shared" si="0"/>
        <v>2356.4886622260992</v>
      </c>
      <c r="Y10" s="24">
        <f t="shared" si="0"/>
        <v>3729.8564440418963</v>
      </c>
      <c r="Z10" s="24">
        <f t="shared" si="0"/>
        <v>3229.3900328106029</v>
      </c>
      <c r="AA10" s="24">
        <f t="shared" si="0"/>
        <v>3639.6790531010979</v>
      </c>
      <c r="AB10" s="24">
        <f t="shared" si="0"/>
        <v>4142.7880963888701</v>
      </c>
      <c r="AC10" s="25">
        <f t="shared" si="0"/>
        <v>3510.668922856561</v>
      </c>
    </row>
    <row r="11" spans="1:29" ht="20.25" thickBot="1" x14ac:dyDescent="0.35">
      <c r="E11" s="17" t="s">
        <v>9</v>
      </c>
      <c r="F11" s="18">
        <v>8442</v>
      </c>
      <c r="G11" s="18">
        <v>23843</v>
      </c>
      <c r="H11" s="18">
        <v>35043</v>
      </c>
      <c r="I11" s="18">
        <v>103406</v>
      </c>
      <c r="J11" s="18">
        <v>56335</v>
      </c>
      <c r="K11" s="18">
        <v>66986</v>
      </c>
      <c r="L11" s="18">
        <v>94015</v>
      </c>
      <c r="M11" s="18">
        <v>88222</v>
      </c>
      <c r="N11" s="18">
        <v>101285</v>
      </c>
      <c r="O11" s="18">
        <v>110250</v>
      </c>
      <c r="P11" s="19">
        <v>116856</v>
      </c>
      <c r="Q11" s="13"/>
      <c r="R11" s="26" t="s">
        <v>9</v>
      </c>
      <c r="S11" s="27">
        <f xml:space="preserve"> 10*F9 / (F11/1000000)</f>
        <v>2369.106846718787</v>
      </c>
      <c r="T11" s="27">
        <f t="shared" ref="T11:Z11" si="1" xml:space="preserve"> 10*G9 / (G11/1000000)</f>
        <v>41941.030910539783</v>
      </c>
      <c r="U11" s="27">
        <f t="shared" si="1"/>
        <v>57072.739206118204</v>
      </c>
      <c r="V11" s="27">
        <f t="shared" si="1"/>
        <v>29011.856178558304</v>
      </c>
      <c r="W11" s="27">
        <f t="shared" si="1"/>
        <v>71003.816455134453</v>
      </c>
      <c r="X11" s="27">
        <f t="shared" si="1"/>
        <v>74642.462604126238</v>
      </c>
      <c r="Y11" s="27">
        <f t="shared" si="1"/>
        <v>63819.603254799767</v>
      </c>
      <c r="Z11" s="27">
        <f t="shared" si="1"/>
        <v>79345.288023395537</v>
      </c>
      <c r="AA11" s="27">
        <f xml:space="preserve"> 10*N9 / (N11/1000000)</f>
        <v>78985.042207631923</v>
      </c>
      <c r="AB11" s="27">
        <f t="shared" ref="AB11" si="2" xml:space="preserve"> 10*O9 / (O11/1000000)</f>
        <v>81632.653061224482</v>
      </c>
      <c r="AC11" s="28">
        <f t="shared" ref="AC11" si="3" xml:space="preserve"> 10*P9 / (P11/1000000)</f>
        <v>85575.409050455259</v>
      </c>
    </row>
    <row r="12" spans="1:29" ht="17.25" thickBot="1" x14ac:dyDescent="0.35"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3">
      <c r="E13" s="10" t="s">
        <v>2</v>
      </c>
      <c r="F13" s="11">
        <v>2</v>
      </c>
      <c r="G13" s="11">
        <v>100</v>
      </c>
      <c r="H13" s="11">
        <v>200</v>
      </c>
      <c r="I13" s="11">
        <v>300</v>
      </c>
      <c r="J13" s="11">
        <v>400</v>
      </c>
      <c r="K13" s="11">
        <v>500</v>
      </c>
      <c r="L13" s="11">
        <v>600</v>
      </c>
      <c r="M13" s="11">
        <v>700</v>
      </c>
      <c r="N13" s="11">
        <v>800</v>
      </c>
      <c r="O13" s="11">
        <v>900</v>
      </c>
      <c r="P13" s="12">
        <v>1000</v>
      </c>
      <c r="Q13" s="13"/>
      <c r="R13" s="20" t="s">
        <v>2</v>
      </c>
      <c r="S13" s="21">
        <v>2</v>
      </c>
      <c r="T13" s="21">
        <v>100</v>
      </c>
      <c r="U13" s="21">
        <v>200</v>
      </c>
      <c r="V13" s="21">
        <v>300</v>
      </c>
      <c r="W13" s="21">
        <v>400</v>
      </c>
      <c r="X13" s="21">
        <v>500</v>
      </c>
      <c r="Y13" s="21">
        <v>600</v>
      </c>
      <c r="Z13" s="21">
        <v>700</v>
      </c>
      <c r="AA13" s="21">
        <v>800</v>
      </c>
      <c r="AB13" s="21">
        <v>900</v>
      </c>
      <c r="AC13" s="22">
        <v>1000</v>
      </c>
    </row>
    <row r="14" spans="1:29" ht="19.5" x14ac:dyDescent="0.3">
      <c r="E14" s="14" t="s">
        <v>13</v>
      </c>
      <c r="F14" s="15">
        <v>12196</v>
      </c>
      <c r="G14" s="15">
        <v>110504</v>
      </c>
      <c r="H14" s="15">
        <v>1102843</v>
      </c>
      <c r="I14" s="15">
        <v>1180483</v>
      </c>
      <c r="J14" s="15">
        <v>2090953</v>
      </c>
      <c r="K14" s="15">
        <v>1507816</v>
      </c>
      <c r="L14" s="15">
        <v>1580236</v>
      </c>
      <c r="M14" s="15">
        <v>1633307</v>
      </c>
      <c r="N14" s="15">
        <v>2159822</v>
      </c>
      <c r="O14" s="15">
        <v>2239051</v>
      </c>
      <c r="P14" s="16">
        <v>2212931</v>
      </c>
      <c r="Q14" s="13"/>
      <c r="R14" s="23" t="s">
        <v>13</v>
      </c>
      <c r="S14" s="24">
        <f xml:space="preserve"> 10*F13 / (F14/1000000)</f>
        <v>1639.881928501148</v>
      </c>
      <c r="T14" s="24">
        <f t="shared" ref="T14:AC14" si="4" xml:space="preserve"> 10*G13 / (G14/1000000)</f>
        <v>9049.4461738941573</v>
      </c>
      <c r="U14" s="24">
        <f t="shared" si="4"/>
        <v>1813.4947585467742</v>
      </c>
      <c r="V14" s="24">
        <f t="shared" si="4"/>
        <v>2541.332657903587</v>
      </c>
      <c r="W14" s="24">
        <f t="shared" si="4"/>
        <v>1913.0033051914606</v>
      </c>
      <c r="X14" s="24">
        <f t="shared" si="4"/>
        <v>3316.0544787958211</v>
      </c>
      <c r="Y14" s="24">
        <f t="shared" si="4"/>
        <v>3796.9012223490668</v>
      </c>
      <c r="Z14" s="24">
        <f t="shared" si="4"/>
        <v>4285.783383038216</v>
      </c>
      <c r="AA14" s="24">
        <f t="shared" si="4"/>
        <v>3704.0089414775844</v>
      </c>
      <c r="AB14" s="24">
        <f t="shared" si="4"/>
        <v>4019.5600725485933</v>
      </c>
      <c r="AC14" s="25">
        <f t="shared" si="4"/>
        <v>4518.893720590474</v>
      </c>
    </row>
    <row r="15" spans="1:29" ht="20.25" thickBot="1" x14ac:dyDescent="0.35">
      <c r="E15" s="17" t="s">
        <v>10</v>
      </c>
      <c r="F15" s="18">
        <v>7773</v>
      </c>
      <c r="G15" s="18">
        <v>22452</v>
      </c>
      <c r="H15" s="18">
        <v>35661</v>
      </c>
      <c r="I15" s="18">
        <v>69809</v>
      </c>
      <c r="J15" s="18">
        <v>56077</v>
      </c>
      <c r="K15" s="18">
        <v>68709</v>
      </c>
      <c r="L15" s="18">
        <v>93775</v>
      </c>
      <c r="M15" s="18">
        <v>88633</v>
      </c>
      <c r="N15" s="18">
        <v>98268</v>
      </c>
      <c r="O15" s="18">
        <v>113087</v>
      </c>
      <c r="P15" s="19">
        <v>120676</v>
      </c>
      <c r="Q15" s="13"/>
      <c r="R15" s="26" t="s">
        <v>10</v>
      </c>
      <c r="S15" s="27">
        <f xml:space="preserve"> 10*F13 / (F15/1000000)</f>
        <v>2573.0091341824264</v>
      </c>
      <c r="T15" s="27">
        <f t="shared" ref="T15:AC15" si="5" xml:space="preserve"> 10*G13 / (G15/1000000)</f>
        <v>44539.461963299487</v>
      </c>
      <c r="U15" s="27">
        <f t="shared" si="5"/>
        <v>56083.676845854017</v>
      </c>
      <c r="V15" s="27">
        <f t="shared" si="5"/>
        <v>42974.401581457983</v>
      </c>
      <c r="W15" s="27">
        <f t="shared" si="5"/>
        <v>71330.492002068582</v>
      </c>
      <c r="X15" s="27">
        <f t="shared" si="5"/>
        <v>72770.670508958065</v>
      </c>
      <c r="Y15" s="27">
        <f t="shared" si="5"/>
        <v>63982.937883231141</v>
      </c>
      <c r="Z15" s="27">
        <f t="shared" si="5"/>
        <v>78977.356063768573</v>
      </c>
      <c r="AA15" s="27">
        <f t="shared" si="5"/>
        <v>81410.021573655715</v>
      </c>
      <c r="AB15" s="27">
        <f t="shared" si="5"/>
        <v>79584.744488756449</v>
      </c>
      <c r="AC15" s="28">
        <f t="shared" si="5"/>
        <v>82866.51861182008</v>
      </c>
    </row>
    <row r="16" spans="1:29" ht="17.25" thickBot="1" x14ac:dyDescent="0.35"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5:29" x14ac:dyDescent="0.3">
      <c r="E17" s="10" t="s">
        <v>2</v>
      </c>
      <c r="F17" s="11">
        <v>2</v>
      </c>
      <c r="G17" s="11">
        <v>100</v>
      </c>
      <c r="H17" s="11">
        <v>200</v>
      </c>
      <c r="I17" s="11">
        <v>300</v>
      </c>
      <c r="J17" s="11">
        <v>400</v>
      </c>
      <c r="K17" s="11">
        <v>500</v>
      </c>
      <c r="L17" s="11">
        <v>600</v>
      </c>
      <c r="M17" s="11">
        <v>700</v>
      </c>
      <c r="N17" s="11">
        <v>800</v>
      </c>
      <c r="O17" s="11">
        <v>900</v>
      </c>
      <c r="P17" s="12">
        <v>1000</v>
      </c>
      <c r="Q17" s="13"/>
      <c r="R17" s="20" t="s">
        <v>2</v>
      </c>
      <c r="S17" s="21">
        <v>2</v>
      </c>
      <c r="T17" s="21">
        <v>100</v>
      </c>
      <c r="U17" s="21">
        <v>200</v>
      </c>
      <c r="V17" s="21">
        <v>300</v>
      </c>
      <c r="W17" s="21">
        <v>400</v>
      </c>
      <c r="X17" s="21">
        <v>500</v>
      </c>
      <c r="Y17" s="21">
        <v>600</v>
      </c>
      <c r="Z17" s="21">
        <v>700</v>
      </c>
      <c r="AA17" s="21">
        <v>800</v>
      </c>
      <c r="AB17" s="21">
        <v>900</v>
      </c>
      <c r="AC17" s="22">
        <v>1000</v>
      </c>
    </row>
    <row r="18" spans="5:29" ht="19.5" x14ac:dyDescent="0.3">
      <c r="E18" s="14" t="s">
        <v>14</v>
      </c>
      <c r="F18" s="15">
        <v>10826</v>
      </c>
      <c r="G18" s="15">
        <v>108338</v>
      </c>
      <c r="H18" s="15">
        <v>1097597</v>
      </c>
      <c r="I18" s="15">
        <v>1213459</v>
      </c>
      <c r="J18" s="15">
        <v>1375447</v>
      </c>
      <c r="K18" s="15">
        <v>1392936</v>
      </c>
      <c r="L18" s="15">
        <v>2154834</v>
      </c>
      <c r="M18" s="15">
        <v>1962245</v>
      </c>
      <c r="N18" s="15">
        <v>2186525</v>
      </c>
      <c r="O18" s="15">
        <v>2188135</v>
      </c>
      <c r="P18" s="16">
        <v>2814130</v>
      </c>
      <c r="Q18" s="13"/>
      <c r="R18" s="23" t="s">
        <v>14</v>
      </c>
      <c r="S18" s="24">
        <f xml:space="preserve"> 10*F17 / (F18/1000000)</f>
        <v>1847.4043968224644</v>
      </c>
      <c r="T18" s="24">
        <f t="shared" ref="T18" si="6" xml:space="preserve"> 10*G17 / (G18/1000000)</f>
        <v>9230.3716147612104</v>
      </c>
      <c r="U18" s="24">
        <f t="shared" ref="U18" si="7" xml:space="preserve"> 10*H17 / (H18/1000000)</f>
        <v>1822.1624148025187</v>
      </c>
      <c r="V18" s="24">
        <f t="shared" ref="V18" si="8" xml:space="preserve"> 10*I17 / (I18/1000000)</f>
        <v>2472.2714158451172</v>
      </c>
      <c r="W18" s="24">
        <f t="shared" ref="W18" si="9" xml:space="preserve"> 10*J17 / (J18/1000000)</f>
        <v>2908.1454974273815</v>
      </c>
      <c r="X18" s="24">
        <f t="shared" ref="X18" si="10" xml:space="preserve"> 10*K17 / (K18/1000000)</f>
        <v>3589.5403665351459</v>
      </c>
      <c r="Y18" s="24">
        <f t="shared" ref="Y18" si="11" xml:space="preserve"> 10*L17 / (L18/1000000)</f>
        <v>2784.4372234705779</v>
      </c>
      <c r="Z18" s="24">
        <f t="shared" ref="Z18" si="12" xml:space="preserve"> 10*M17 / (M18/1000000)</f>
        <v>3567.3425081985174</v>
      </c>
      <c r="AA18" s="24">
        <f t="shared" ref="AA18" si="13" xml:space="preserve"> 10*N17 / (N18/1000000)</f>
        <v>3658.773624815632</v>
      </c>
      <c r="AB18" s="24">
        <f t="shared" ref="AB18" si="14" xml:space="preserve"> 10*O17 / (O18/1000000)</f>
        <v>4113.0917425113166</v>
      </c>
      <c r="AC18" s="25">
        <f t="shared" ref="AC18" si="15" xml:space="preserve"> 10*P17 / (P18/1000000)</f>
        <v>3553.4961071450148</v>
      </c>
    </row>
    <row r="19" spans="5:29" ht="20.25" thickBot="1" x14ac:dyDescent="0.35">
      <c r="E19" s="17" t="s">
        <v>11</v>
      </c>
      <c r="F19" s="18">
        <v>8785</v>
      </c>
      <c r="G19" s="18">
        <v>22425</v>
      </c>
      <c r="H19" s="18">
        <v>33652</v>
      </c>
      <c r="I19" s="18">
        <v>73065</v>
      </c>
      <c r="J19" s="18">
        <v>56010</v>
      </c>
      <c r="K19" s="18">
        <v>68961</v>
      </c>
      <c r="L19" s="18">
        <v>81272</v>
      </c>
      <c r="M19" s="18">
        <v>85765</v>
      </c>
      <c r="N19" s="18">
        <v>101447</v>
      </c>
      <c r="O19" s="18">
        <v>111726</v>
      </c>
      <c r="P19" s="19">
        <v>124153</v>
      </c>
      <c r="Q19" s="13"/>
      <c r="R19" s="26" t="s">
        <v>11</v>
      </c>
      <c r="S19" s="27">
        <f xml:space="preserve"> 10*F17 / (F19/1000000)</f>
        <v>2276.6078542970977</v>
      </c>
      <c r="T19" s="27">
        <f t="shared" ref="T19" si="16" xml:space="preserve"> 10*G17 / (G19/1000000)</f>
        <v>44593.088071348939</v>
      </c>
      <c r="U19" s="27">
        <f t="shared" ref="U19" si="17" xml:space="preserve"> 10*H17 / (H19/1000000)</f>
        <v>59431.831689052655</v>
      </c>
      <c r="V19" s="27">
        <f t="shared" ref="V19" si="18" xml:space="preserve"> 10*I17 / (I19/1000000)</f>
        <v>41059.330732909053</v>
      </c>
      <c r="W19" s="27">
        <f t="shared" ref="W19" si="19" xml:space="preserve"> 10*J17 / (J19/1000000)</f>
        <v>71415.81860382075</v>
      </c>
      <c r="X19" s="27">
        <f t="shared" ref="X19" si="20" xml:space="preserve"> 10*K17 / (K19/1000000)</f>
        <v>72504.7490610635</v>
      </c>
      <c r="Y19" s="27">
        <f t="shared" ref="Y19" si="21" xml:space="preserve"> 10*L17 / (L19/1000000)</f>
        <v>73826.163992518952</v>
      </c>
      <c r="Z19" s="27">
        <f t="shared" ref="Z19" si="22" xml:space="preserve"> 10*M17 / (M19/1000000)</f>
        <v>81618.375794321692</v>
      </c>
      <c r="AA19" s="27">
        <f t="shared" ref="AA19" si="23" xml:space="preserve"> 10*N17 / (N19/1000000)</f>
        <v>78858.91154987333</v>
      </c>
      <c r="AB19" s="27">
        <f t="shared" ref="AB19" si="24" xml:space="preserve"> 10*O17 / (O19/1000000)</f>
        <v>80554.212985339123</v>
      </c>
      <c r="AC19" s="28">
        <f t="shared" ref="AC19" si="25" xml:space="preserve"> 10*P17 / (P19/1000000)</f>
        <v>80545.778193036007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이동협</dc:creator>
  <cp:lastModifiedBy>이동협</cp:lastModifiedBy>
  <dcterms:created xsi:type="dcterms:W3CDTF">2025-05-28T11:59:02Z</dcterms:created>
  <dcterms:modified xsi:type="dcterms:W3CDTF">2025-05-29T14:37:31Z</dcterms:modified>
</cp:coreProperties>
</file>